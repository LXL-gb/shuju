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30" windowHeight="12735"/>
  </bookViews>
  <sheets>
    <sheet name="Sheet5" sheetId="5" r:id="rId1"/>
    <sheet name="Sheet1" sheetId="1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<sst xmlns="http://schemas.openxmlformats.org/spreadsheetml/2006/main" count="95" uniqueCount="81">
  <si>
    <t>算术运算</t>
  </si>
  <si>
    <t>关系运算</t>
  </si>
  <si>
    <t>2 ^ ( 3 + 1 ) - 12 / 2 + 5</t>
  </si>
  <si>
    <t>5&lt;&gt;4</t>
  </si>
  <si>
    <t>8&gt;=9</t>
  </si>
  <si>
    <t>学生姓名</t>
  </si>
  <si>
    <t>年级</t>
  </si>
  <si>
    <t>语文成绩</t>
  </si>
  <si>
    <t>数学成绩</t>
  </si>
  <si>
    <t>英语成绩</t>
  </si>
  <si>
    <t>总分</t>
  </si>
  <si>
    <t>平均分</t>
  </si>
  <si>
    <t>最高分</t>
  </si>
  <si>
    <t>最低分</t>
  </si>
  <si>
    <t>陈一诺</t>
  </si>
  <si>
    <t>高一</t>
  </si>
  <si>
    <t>林泽宇</t>
  </si>
  <si>
    <t>苏晚晴</t>
  </si>
  <si>
    <t>周子轩</t>
  </si>
  <si>
    <t>沈知夏</t>
  </si>
  <si>
    <t>顾明哲</t>
  </si>
  <si>
    <t>姜雨桐</t>
  </si>
  <si>
    <t>陆星遥</t>
  </si>
  <si>
    <t>叶慕言</t>
  </si>
  <si>
    <t>许念安</t>
  </si>
  <si>
    <t>参加考试的人数</t>
  </si>
  <si>
    <t>文本数据</t>
  </si>
  <si>
    <t>文本连接符</t>
  </si>
  <si>
    <t>张三</t>
  </si>
  <si>
    <t>C2&amp;"同学"</t>
  </si>
  <si>
    <t>求字符串的长度(len)</t>
  </si>
  <si>
    <t>放假回家吃饭</t>
  </si>
  <si>
    <t>LEN(C6)</t>
  </si>
  <si>
    <t>从左截取字符串(left)</t>
  </si>
  <si>
    <t>清明假三月三</t>
  </si>
  <si>
    <t>LEFT(C6,2)</t>
  </si>
  <si>
    <t>从右截取字符串(right)</t>
  </si>
  <si>
    <t>确定目标</t>
  </si>
  <si>
    <t>RIGHT(C8,2)</t>
  </si>
  <si>
    <t>截取指定字符串(mid)</t>
  </si>
  <si>
    <t>全力以赴</t>
  </si>
  <si>
    <t>MID(C10,2,4)</t>
  </si>
  <si>
    <t>查找指定字符的位置(find)</t>
  </si>
  <si>
    <t>战胜困难</t>
  </si>
  <si>
    <t>FIND("难",C12,1)</t>
  </si>
  <si>
    <t>删除空格(TRIM)</t>
  </si>
  <si>
    <t xml:space="preserve">     一定胜利</t>
  </si>
  <si>
    <t>TRIM(C14)</t>
  </si>
  <si>
    <t>时间函数</t>
  </si>
  <si>
    <t>提取年份</t>
  </si>
  <si>
    <t>YEAR(A18)</t>
  </si>
  <si>
    <t>返回当天日期</t>
  </si>
  <si>
    <t>TODAY()</t>
  </si>
  <si>
    <t>返回当前日期和时间</t>
  </si>
  <si>
    <t>NOW()</t>
  </si>
  <si>
    <t>返回两日期间相差的实足年数、月数和天数</t>
  </si>
  <si>
    <t>DATEDIF(F25,E25,"Y")</t>
  </si>
  <si>
    <t>构造一个日期</t>
  </si>
  <si>
    <t>DATE(2026,5,26)</t>
  </si>
  <si>
    <t>IF逻辑判断函数</t>
  </si>
  <si>
    <t>姓名</t>
  </si>
  <si>
    <t>等级</t>
  </si>
  <si>
    <t>王一</t>
  </si>
  <si>
    <t>赵二</t>
  </si>
  <si>
    <t>if(C33&gt;400,"优秀","良好")</t>
  </si>
  <si>
    <t>李四</t>
  </si>
  <si>
    <t>IF复合判断</t>
  </si>
  <si>
    <r>
      <rPr>
        <b/>
        <sz val="28"/>
        <color theme="1"/>
        <rFont val="等线"/>
        <charset val="134"/>
        <scheme val="minor"/>
      </rPr>
      <t>表2-5 BMI指数—BMI=体重÷身高</t>
    </r>
    <r>
      <rPr>
        <b/>
        <vertAlign val="superscript"/>
        <sz val="28"/>
        <color theme="1"/>
        <rFont val="等线"/>
        <charset val="134"/>
        <scheme val="minor"/>
      </rPr>
      <t xml:space="preserve">2 </t>
    </r>
  </si>
  <si>
    <t>BMI指数范围</t>
  </si>
  <si>
    <t>评价</t>
  </si>
  <si>
    <t>BMI&lt;18.5</t>
  </si>
  <si>
    <t>体重轻</t>
  </si>
  <si>
    <t>18.5&lt;=BMI&lt;24</t>
  </si>
  <si>
    <t>健康</t>
  </si>
  <si>
    <t>24&lt;=BMI&lt;28</t>
  </si>
  <si>
    <t>超重</t>
  </si>
  <si>
    <t>BMI&gt;=28</t>
  </si>
  <si>
    <t>肥胖</t>
  </si>
  <si>
    <t>身高(米)</t>
  </si>
  <si>
    <t>体重(kg)</t>
  </si>
  <si>
    <t>BMI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</si>
</sst>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yyyy/m/d;@"/>
  </numFmts>
  <fonts count="27">
    <font>
      <sz val="11"/>
      <color theme="1"/>
      <name val="等线"/>
      <charset val="134"/>
      <scheme val="minor"/>
    </font>
    <font>
      <b/>
      <sz val="26"/>
      <color theme="1"/>
      <name val="等线"/>
      <charset val="134"/>
      <scheme val="minor"/>
    </font>
    <font>
      <b/>
      <sz val="28"/>
      <color theme="1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8"/>
      <color theme="1"/>
      <name val="等线"/>
      <charset val="134"/>
      <scheme val="minor"/>
    </font>
    <font>
      <sz val="10"/>
      <color theme="1"/>
      <name val="阿里巴巴普惠体 R"/>
      <charset val="134"/>
    </font>
    <font>
      <sz val="22"/>
      <color theme="1"/>
      <name val="等线 Light"/>
      <charset val="134"/>
      <scheme val="maj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vertAlign val="superscript"/>
      <sz val="28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3" borderId="1" xfId="0" applyFont="1" applyFill="1" applyBorder="1">
      <alignment vertical="center"/>
    </xf>
    <xf numFmtId="0" fontId="3" fillId="2" borderId="0" xfId="0" applyFont="1" applyFill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22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 wrapText="1"/>
    </xf>
    <xf numFmtId="177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zoomScale="235" zoomScaleNormal="235" topLeftCell="A4" workbookViewId="0">
      <selection activeCell="C2" sqref="C2"/>
    </sheetView>
  </sheetViews>
  <sheetFormatPr defaultColWidth="9" defaultRowHeight="14.25"/>
  <cols>
    <col min="1" max="1" width="20.7416666666667" customWidth="1"/>
    <col min="10" max="10" width="9.20833333333333" customWidth="1"/>
  </cols>
  <sheetData>
    <row r="1" spans="1:9">
      <c r="A1" t="s">
        <v>0</v>
      </c>
      <c r="C1" s="27" t="s">
        <v>1</v>
      </c>
      <c r="D1" s="27"/>
    </row>
    <row r="2" spans="1:9">
      <c r="A2" t="s">
        <v>2</v>
      </c>
      <c r="C2" t="s">
        <v>3</v>
      </c>
      <c r="D2" t="s">
        <v>4</v>
      </c>
    </row>
    <row r="6" spans="1:9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</row>
    <row r="7" spans="1:9">
      <c r="A7" t="s">
        <v>14</v>
      </c>
      <c r="B7" t="s">
        <v>15</v>
      </c>
      <c r="C7" s="27">
        <v>92</v>
      </c>
      <c r="D7" s="27">
        <v>95</v>
      </c>
      <c r="E7" s="27">
        <v>93</v>
      </c>
      <c r="F7" s="27"/>
      <c r="G7" s="27"/>
    </row>
    <row r="8" spans="1:9">
      <c r="A8" t="s">
        <v>16</v>
      </c>
      <c r="B8" t="s">
        <v>15</v>
      </c>
      <c r="C8" s="27">
        <v>88</v>
      </c>
      <c r="D8" s="27">
        <v>97</v>
      </c>
      <c r="E8" s="27">
        <v>86</v>
      </c>
      <c r="F8" s="27"/>
      <c r="G8" s="27"/>
    </row>
    <row r="9" spans="1:9">
      <c r="A9" t="s">
        <v>17</v>
      </c>
      <c r="B9" t="s">
        <v>15</v>
      </c>
      <c r="C9" s="27">
        <v>94</v>
      </c>
      <c r="D9" s="27">
        <v>85</v>
      </c>
      <c r="E9" s="27">
        <v>90</v>
      </c>
      <c r="F9" s="27"/>
      <c r="G9" s="27"/>
    </row>
    <row r="10" spans="1:9">
      <c r="A10" t="s">
        <v>18</v>
      </c>
      <c r="B10" t="s">
        <v>15</v>
      </c>
      <c r="C10" s="27">
        <v>82</v>
      </c>
      <c r="D10" s="27">
        <v>96</v>
      </c>
      <c r="E10" s="27">
        <v>87</v>
      </c>
      <c r="F10" s="27"/>
      <c r="G10" s="27"/>
    </row>
    <row r="11" spans="1:9">
      <c r="A11" t="s">
        <v>19</v>
      </c>
      <c r="B11" t="s">
        <v>15</v>
      </c>
      <c r="C11" s="27">
        <v>90</v>
      </c>
      <c r="D11" s="27">
        <v>83</v>
      </c>
      <c r="E11" s="27">
        <v>91</v>
      </c>
      <c r="F11" s="27"/>
      <c r="G11" s="27"/>
    </row>
    <row r="12" spans="1:9">
      <c r="A12" t="s">
        <v>20</v>
      </c>
      <c r="B12" t="s">
        <v>15</v>
      </c>
      <c r="C12" s="27">
        <v>79</v>
      </c>
      <c r="D12" s="27">
        <v>92</v>
      </c>
      <c r="E12" s="27">
        <v>89</v>
      </c>
      <c r="F12" s="27"/>
      <c r="G12" s="27"/>
    </row>
    <row r="13" spans="1:9">
      <c r="A13" t="s">
        <v>21</v>
      </c>
      <c r="B13" t="s">
        <v>15</v>
      </c>
      <c r="C13" s="27">
        <v>87</v>
      </c>
      <c r="D13" s="27">
        <v>84</v>
      </c>
      <c r="E13" s="27">
        <v>88</v>
      </c>
      <c r="F13" s="27"/>
      <c r="G13" s="27"/>
    </row>
    <row r="14" spans="1:9">
      <c r="A14" t="s">
        <v>22</v>
      </c>
      <c r="B14" t="s">
        <v>15</v>
      </c>
      <c r="C14" s="27">
        <v>85</v>
      </c>
      <c r="D14" s="27">
        <v>88</v>
      </c>
      <c r="E14" s="27">
        <v>85</v>
      </c>
      <c r="F14" s="27"/>
      <c r="G14" s="27"/>
    </row>
    <row r="15" spans="1:9">
      <c r="A15" t="s">
        <v>23</v>
      </c>
      <c r="B15" t="s">
        <v>15</v>
      </c>
      <c r="C15" s="27">
        <v>76</v>
      </c>
      <c r="D15" s="27">
        <v>94</v>
      </c>
      <c r="E15" s="27">
        <v>82</v>
      </c>
      <c r="F15" s="27"/>
      <c r="G15" s="27"/>
    </row>
    <row r="16" spans="1:9">
      <c r="A16" t="s">
        <v>24</v>
      </c>
      <c r="B16" t="s">
        <v>15</v>
      </c>
      <c r="C16" s="27">
        <v>83</v>
      </c>
      <c r="D16" s="27">
        <v>80</v>
      </c>
      <c r="E16" s="27">
        <v>84</v>
      </c>
      <c r="F16" s="27"/>
      <c r="G16" s="27"/>
    </row>
    <row r="18" spans="1:1">
      <c r="A18" t="s">
        <v>25</v>
      </c>
    </row>
  </sheetData>
  <mergeCells count="1">
    <mergeCell ref="C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zoomScale="130" zoomScaleNormal="130" workbookViewId="0">
      <selection activeCell="N9" sqref="N9"/>
    </sheetView>
  </sheetViews>
  <sheetFormatPr defaultColWidth="9" defaultRowHeight="14.25" outlineLevelRow="2"/>
  <cols>
    <col min="1" max="1" width="6.10833333333333" customWidth="1"/>
    <col min="2" max="2" width="7.55833333333333" customWidth="1"/>
    <col min="3" max="3" width="9.44166666666667" customWidth="1"/>
    <col min="4" max="4" width="12" customWidth="1"/>
    <col min="5" max="13" width="6.66666666666667" style="25" customWidth="1"/>
    <col min="14" max="14" width="13.875" style="25" customWidth="1"/>
    <col min="15" max="15" width="14.75" customWidth="1"/>
    <col min="16" max="16" width="16.375" customWidth="1"/>
  </cols>
  <sheetData>
    <row r="1" spans="1:16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16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</sheetData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workbookViewId="0">
      <selection activeCell="E8" sqref="E8"/>
    </sheetView>
  </sheetViews>
  <sheetFormatPr defaultColWidth="9" defaultRowHeight="14.25" outlineLevelCol="5"/>
  <cols>
    <col min="1" max="1" width="61.1333333333333" customWidth="1"/>
    <col min="2" max="2" width="3" style="2" customWidth="1"/>
    <col min="3" max="3" width="76.1416666666667" customWidth="1"/>
    <col min="4" max="4" width="2.875" style="2" customWidth="1"/>
    <col min="5" max="5" width="63.175" customWidth="1"/>
    <col min="6" max="6" width="145.225" customWidth="1"/>
  </cols>
  <sheetData>
    <row r="1" ht="35.25" spans="1:6">
      <c r="A1" s="3" t="s">
        <v>26</v>
      </c>
      <c r="B1" s="4"/>
      <c r="C1" s="3"/>
      <c r="D1" s="4"/>
      <c r="E1" s="3"/>
    </row>
    <row r="2" ht="42" customHeight="1" spans="1:6">
      <c r="A2" s="5" t="s">
        <v>27</v>
      </c>
      <c r="B2" s="6"/>
      <c r="C2" s="5" t="s">
        <v>28</v>
      </c>
      <c r="D2" s="6"/>
      <c r="E2" s="5" t="s">
        <v>29</v>
      </c>
    </row>
    <row r="3" ht="47" customHeight="1" spans="1:6">
      <c r="A3" s="5" t="s">
        <v>30</v>
      </c>
      <c r="B3" s="6"/>
      <c r="C3" s="5" t="s">
        <v>31</v>
      </c>
      <c r="D3" s="6"/>
      <c r="E3" s="5" t="s">
        <v>32</v>
      </c>
    </row>
    <row r="4" ht="38" customHeight="1" spans="1:6">
      <c r="A4" s="5" t="s">
        <v>33</v>
      </c>
      <c r="B4" s="6"/>
      <c r="C4" s="5" t="s">
        <v>34</v>
      </c>
      <c r="D4" s="6"/>
      <c r="E4" s="5" t="s">
        <v>35</v>
      </c>
    </row>
    <row r="5" ht="42" customHeight="1" spans="1:6">
      <c r="A5" s="5" t="s">
        <v>36</v>
      </c>
      <c r="B5" s="6"/>
      <c r="C5" s="5" t="s">
        <v>37</v>
      </c>
      <c r="D5" s="6"/>
      <c r="E5" s="5" t="s">
        <v>38</v>
      </c>
    </row>
    <row r="6" ht="50" customHeight="1" spans="1:6">
      <c r="A6" s="5" t="s">
        <v>39</v>
      </c>
      <c r="B6" s="6"/>
      <c r="C6" s="5" t="s">
        <v>40</v>
      </c>
      <c r="D6" s="6"/>
      <c r="E6" s="5" t="s">
        <v>41</v>
      </c>
    </row>
    <row r="7" ht="43" customHeight="1" spans="1:6">
      <c r="A7" s="5" t="s">
        <v>42</v>
      </c>
      <c r="B7" s="6"/>
      <c r="C7" s="5" t="s">
        <v>43</v>
      </c>
      <c r="D7" s="6"/>
      <c r="E7" s="5" t="s">
        <v>44</v>
      </c>
    </row>
    <row r="8" ht="46" customHeight="1" spans="1:6">
      <c r="A8" s="5" t="s">
        <v>45</v>
      </c>
      <c r="B8" s="6"/>
      <c r="C8" s="5" t="s">
        <v>46</v>
      </c>
      <c r="D8" s="6"/>
      <c r="E8" s="5" t="s">
        <v>47</v>
      </c>
    </row>
    <row r="9" ht="20" customHeight="1"/>
    <row r="10" ht="42" customHeight="1" spans="1:6">
      <c r="A10" s="7" t="s">
        <v>48</v>
      </c>
      <c r="B10" s="7"/>
      <c r="C10" s="7"/>
      <c r="D10" s="7"/>
      <c r="E10" s="7"/>
    </row>
    <row r="12" s="1" customFormat="1" ht="35.25" spans="1:6">
      <c r="A12" s="8">
        <v>46023</v>
      </c>
      <c r="B12" s="9"/>
      <c r="C12" s="10"/>
      <c r="D12" s="9"/>
      <c r="E12" s="10"/>
      <c r="F12" s="10"/>
    </row>
    <row r="13" ht="35.25" spans="1:6">
      <c r="A13" s="10" t="s">
        <v>49</v>
      </c>
      <c r="B13" s="9"/>
      <c r="C13" s="11" t="s">
        <v>50</v>
      </c>
      <c r="D13" s="12"/>
      <c r="E13" s="11"/>
      <c r="F13" s="11"/>
    </row>
    <row r="14" ht="35.25" spans="1:6">
      <c r="A14" s="10"/>
      <c r="B14" s="9"/>
      <c r="C14" s="11"/>
      <c r="D14" s="12"/>
      <c r="E14" s="11"/>
      <c r="F14" s="11"/>
    </row>
    <row r="15" ht="35.25" spans="1:6">
      <c r="A15" s="10" t="s">
        <v>51</v>
      </c>
      <c r="B15" s="9"/>
      <c r="C15" s="13" t="s">
        <v>52</v>
      </c>
      <c r="D15" s="12"/>
      <c r="E15" s="11"/>
      <c r="F15" s="11"/>
    </row>
    <row r="16" ht="35.25" spans="1:6">
      <c r="A16" s="10"/>
      <c r="B16" s="9"/>
      <c r="C16" s="11"/>
      <c r="D16" s="12"/>
      <c r="E16" s="11"/>
      <c r="F16" s="11"/>
    </row>
    <row r="17" ht="35.25" spans="1:6">
      <c r="A17" s="10" t="s">
        <v>53</v>
      </c>
      <c r="B17" s="9"/>
      <c r="C17" s="14" t="s">
        <v>54</v>
      </c>
      <c r="D17" s="12"/>
      <c r="E17" s="11"/>
      <c r="F17" s="11"/>
    </row>
    <row r="18" ht="35.25" spans="1:6">
      <c r="A18" s="10"/>
      <c r="B18" s="9"/>
      <c r="C18" s="11"/>
      <c r="D18" s="12"/>
      <c r="E18" s="11"/>
      <c r="F18" s="11"/>
    </row>
    <row r="19" ht="85" customHeight="1" spans="1:6">
      <c r="A19" s="15" t="s">
        <v>55</v>
      </c>
      <c r="B19" s="9"/>
      <c r="C19" s="11" t="s">
        <v>56</v>
      </c>
      <c r="D19" s="12"/>
      <c r="E19" s="16">
        <v>36666</v>
      </c>
      <c r="F19" s="16">
        <v>46162</v>
      </c>
    </row>
    <row r="20" ht="23" customHeight="1" spans="1:6">
      <c r="A20" s="10"/>
      <c r="B20" s="9"/>
      <c r="C20" s="11"/>
      <c r="D20" s="12"/>
      <c r="E20" s="11"/>
      <c r="F20" s="11"/>
    </row>
    <row r="21" ht="35.25" spans="1:6">
      <c r="A21" s="10" t="s">
        <v>57</v>
      </c>
      <c r="B21" s="9"/>
      <c r="C21" s="13" t="s">
        <v>58</v>
      </c>
      <c r="D21" s="12"/>
      <c r="E21" s="11"/>
      <c r="F21" s="11"/>
    </row>
    <row r="23" s="2" customFormat="1" ht="34" customHeight="1"/>
    <row r="24" ht="39" customHeight="1" spans="1:6">
      <c r="A24" s="7" t="s">
        <v>59</v>
      </c>
      <c r="B24" s="7"/>
      <c r="C24" s="7"/>
      <c r="D24" s="7"/>
      <c r="E24" s="7"/>
    </row>
    <row r="25" ht="50" customHeight="1" spans="1:6">
      <c r="A25" s="17" t="s">
        <v>60</v>
      </c>
      <c r="C25" s="17" t="s">
        <v>10</v>
      </c>
      <c r="E25" s="10" t="s">
        <v>61</v>
      </c>
    </row>
    <row r="26" ht="52" customHeight="1" spans="1:6">
      <c r="A26" s="17" t="s">
        <v>62</v>
      </c>
      <c r="C26" s="17">
        <v>480</v>
      </c>
      <c r="E26" s="18" t="str">
        <f>IF(C26&gt;400,"优秀","良好")</f>
        <v>优秀</v>
      </c>
    </row>
    <row r="27" ht="39" customHeight="1" spans="1:6">
      <c r="A27" s="17" t="s">
        <v>63</v>
      </c>
      <c r="C27" s="17">
        <v>450</v>
      </c>
      <c r="E27" s="18" t="s">
        <v>64</v>
      </c>
    </row>
    <row r="28" ht="41" customHeight="1" spans="1:6">
      <c r="A28" s="17" t="s">
        <v>28</v>
      </c>
      <c r="C28" s="17">
        <v>380</v>
      </c>
      <c r="E28" s="18" t="s">
        <v>64</v>
      </c>
    </row>
    <row r="29" ht="48" customHeight="1" spans="1:6">
      <c r="A29" s="17" t="s">
        <v>65</v>
      </c>
      <c r="C29" s="17">
        <v>520</v>
      </c>
      <c r="E29" s="18" t="s">
        <v>64</v>
      </c>
    </row>
    <row r="30" s="2" customFormat="1" ht="47" customHeight="1"/>
    <row r="31" customFormat="1" ht="45" customHeight="1" spans="1:6">
      <c r="A31" s="7" t="s">
        <v>66</v>
      </c>
      <c r="B31" s="7"/>
      <c r="C31" s="7"/>
      <c r="D31" s="7"/>
      <c r="E31" s="7"/>
    </row>
    <row r="32" ht="94" customHeight="1" spans="1:6">
      <c r="C32" s="15" t="s">
        <v>67</v>
      </c>
    </row>
    <row r="33" ht="53" customHeight="1" spans="1:6">
      <c r="A33" s="19" t="s">
        <v>68</v>
      </c>
      <c r="B33" s="9"/>
      <c r="C33" s="17" t="s">
        <v>69</v>
      </c>
      <c r="D33" s="9"/>
      <c r="E33" s="10"/>
      <c r="F33" s="20"/>
    </row>
    <row r="34" ht="50" customHeight="1" spans="1:6">
      <c r="A34" s="19" t="s">
        <v>70</v>
      </c>
      <c r="B34" s="9"/>
      <c r="C34" s="17" t="s">
        <v>71</v>
      </c>
      <c r="D34" s="9"/>
      <c r="E34" s="10"/>
      <c r="F34" s="20"/>
    </row>
    <row r="35" ht="61" customHeight="1" spans="1:6">
      <c r="A35" s="19" t="s">
        <v>72</v>
      </c>
      <c r="B35" s="9"/>
      <c r="C35" s="17" t="s">
        <v>73</v>
      </c>
      <c r="D35" s="9"/>
      <c r="E35" s="10"/>
      <c r="F35" s="20"/>
    </row>
    <row r="36" ht="46" customHeight="1" spans="1:6">
      <c r="A36" s="19" t="s">
        <v>74</v>
      </c>
      <c r="B36" s="9"/>
      <c r="C36" s="17" t="s">
        <v>75</v>
      </c>
      <c r="D36" s="9"/>
      <c r="E36" s="10"/>
      <c r="F36" s="20"/>
    </row>
    <row r="37" ht="57" customHeight="1" spans="1:6">
      <c r="A37" s="19" t="s">
        <v>76</v>
      </c>
      <c r="B37" s="9"/>
      <c r="C37" s="17" t="s">
        <v>77</v>
      </c>
      <c r="D37" s="9"/>
      <c r="E37" s="10"/>
    </row>
    <row r="38" ht="35" customHeight="1"/>
    <row r="39" ht="43" customHeight="1" spans="1:6">
      <c r="A39" s="17" t="s">
        <v>78</v>
      </c>
      <c r="B39" s="21"/>
      <c r="C39" s="17" t="s">
        <v>79</v>
      </c>
      <c r="D39" s="21"/>
      <c r="E39" s="17" t="s">
        <v>80</v>
      </c>
      <c r="F39" s="10" t="s">
        <v>69</v>
      </c>
    </row>
    <row r="40" ht="57" customHeight="1" spans="1:6">
      <c r="A40" s="17">
        <v>1.56</v>
      </c>
      <c r="B40" s="21"/>
      <c r="C40" s="17">
        <v>50</v>
      </c>
      <c r="D40" s="21"/>
      <c r="E40" s="17">
        <f>C40/(A40*A40)</f>
        <v>20.5456936226167</v>
      </c>
      <c r="F40" s="10" t="str">
        <f>IF(E40&lt;18,"体重轻",IF(E40&lt;24,"健康",IF(E40&lt;28,"超重","肥胖")))</f>
        <v>健康</v>
      </c>
    </row>
    <row r="41" ht="38" customHeight="1" spans="1:6">
      <c r="A41" s="22"/>
      <c r="B41" s="23"/>
      <c r="C41" s="22"/>
      <c r="D41" s="23"/>
      <c r="E41" s="22"/>
      <c r="F41" s="20"/>
    </row>
    <row r="42" ht="32" customHeight="1" spans="1:6">
      <c r="A42" s="22"/>
      <c r="B42" s="23"/>
      <c r="C42" s="22"/>
      <c r="D42" s="23"/>
      <c r="E42" s="22"/>
      <c r="F42" s="20"/>
    </row>
    <row r="43" ht="34" customHeight="1" spans="1:6">
      <c r="A43" s="22"/>
      <c r="B43" s="23"/>
      <c r="C43" s="22"/>
      <c r="D43" s="23"/>
      <c r="E43" s="22"/>
      <c r="F43" s="20"/>
    </row>
    <row r="44" ht="33" customHeight="1" spans="1:6">
      <c r="A44" s="20"/>
      <c r="B44" s="24"/>
      <c r="C44" s="20"/>
      <c r="D44" s="24"/>
      <c r="E44" s="20"/>
      <c r="F44" s="20"/>
    </row>
    <row r="45" ht="35" customHeight="1" spans="1:6">
      <c r="F45" s="20"/>
    </row>
    <row r="46" ht="32" customHeight="1" spans="1:6">
      <c r="F46" s="20"/>
    </row>
    <row r="47" ht="27" customHeight="1" spans="1:6">
      <c r="F47" s="20"/>
    </row>
    <row r="48" ht="30" customHeight="1" spans="1:6">
      <c r="F48" s="20"/>
    </row>
    <row r="49" ht="29" customHeight="1"/>
  </sheetData>
  <mergeCells count="4">
    <mergeCell ref="A1:E1"/>
    <mergeCell ref="A10:E10"/>
    <mergeCell ref="A24:E24"/>
    <mergeCell ref="A31:E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Sheet5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 add</dc:creator>
  <cp:lastModifiedBy>A </cp:lastModifiedBy>
  <dcterms:created xsi:type="dcterms:W3CDTF">2019-10-25T03:02:00Z</dcterms:created>
  <cp:lastPrinted>2019-10-25T07:12:00Z</cp:lastPrinted>
  <dcterms:modified xsi:type="dcterms:W3CDTF">2026-04-01T08:53:50Z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19DE9113BA2943D39EAC3C9CAF90CB11_13</vt:lpwstr>
  </property>
  <property fmtid="{D5CDD505-2E9C-101B-9397-08002B2CF9AE}" pid="3" name="KSOProductBuildVer">
    <vt:lpwstr>2052-12.1.0.25225</vt:lpwstr>
  </property>
  <property fmtid="{D5CDD505-2E9C-101B-9397-08002B2CF9AE}" pid="4" name="KSOTemplateUUID">
    <vt:lpwstr>v1.0_mb_1JmAQx1DCYVPYPdQ1uGD/g==</vt:lpwstr>
  </property>
  <property fmtid="{D5CDD505-2E9C-101B-9397-08002B2CF9AE}" pid="5" name="CalculationRule">
    <vt:i4>0</vt:i4>
  </property>
</Properties>
</file>